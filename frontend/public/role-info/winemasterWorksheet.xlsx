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gxb122130/Dropbox/Classes/NegotiationUTD/Mod 1 Table skills/Winemaster.com/"/>
    </mc:Choice>
  </mc:AlternateContent>
  <bookViews>
    <workbookView xWindow="1920" yWindow="11320" windowWidth="28160" windowHeight="167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" l="1"/>
  <c r="D21" i="1"/>
  <c r="D18" i="1"/>
  <c r="D4" i="1"/>
</calcChain>
</file>

<file path=xl/sharedStrings.xml><?xml version="1.0" encoding="utf-8"?>
<sst xmlns="http://schemas.openxmlformats.org/spreadsheetml/2006/main" count="20" uniqueCount="20">
  <si>
    <t>X  $50  =</t>
  </si>
  <si>
    <t xml:space="preserve">          X  Vesting discount</t>
  </si>
  <si>
    <t xml:space="preserve">  = Present value of shares (C7 x D4)</t>
  </si>
  <si>
    <t>Winemaster.  Deal value</t>
  </si>
  <si>
    <t xml:space="preserve">         + Value of board seat</t>
  </si>
  <si>
    <t xml:space="preserve">  = Total deal value (D10 + C13 + C17)</t>
  </si>
  <si>
    <r>
      <t>Pro rata  (</t>
    </r>
    <r>
      <rPr>
        <i/>
        <sz val="18"/>
        <color theme="1"/>
        <rFont val="Calibri"/>
        <scheme val="minor"/>
      </rPr>
      <t>enter</t>
    </r>
    <r>
      <rPr>
        <sz val="18"/>
        <color theme="1"/>
        <rFont val="Calibri"/>
        <family val="2"/>
        <scheme val="minor"/>
      </rPr>
      <t xml:space="preserve"> 0.88)</t>
    </r>
  </si>
  <si>
    <r>
      <t xml:space="preserve">End second yr </t>
    </r>
    <r>
      <rPr>
        <i/>
        <sz val="18"/>
        <color theme="1"/>
        <rFont val="Calibri"/>
        <scheme val="minor"/>
      </rPr>
      <t>(enter</t>
    </r>
    <r>
      <rPr>
        <sz val="18"/>
        <color theme="1"/>
        <rFont val="Calibri"/>
        <family val="2"/>
        <scheme val="minor"/>
      </rPr>
      <t xml:space="preserve"> 0.76)</t>
    </r>
  </si>
  <si>
    <r>
      <t>Immediate (</t>
    </r>
    <r>
      <rPr>
        <i/>
        <sz val="18"/>
        <color theme="1"/>
        <rFont val="Calibri"/>
        <scheme val="minor"/>
      </rPr>
      <t xml:space="preserve">enter </t>
    </r>
    <r>
      <rPr>
        <sz val="18"/>
        <color theme="1"/>
        <rFont val="Calibri"/>
        <family val="2"/>
        <scheme val="minor"/>
      </rPr>
      <t>1</t>
    </r>
    <r>
      <rPr>
        <sz val="18"/>
        <color theme="1"/>
        <rFont val="Calibri"/>
        <family val="2"/>
        <scheme val="minor"/>
      </rPr>
      <t>)</t>
    </r>
  </si>
  <si>
    <r>
      <t xml:space="preserve">           </t>
    </r>
    <r>
      <rPr>
        <sz val="18"/>
        <color theme="1"/>
        <rFont val="Calibri"/>
        <family val="2"/>
        <scheme val="minor"/>
      </rPr>
      <t>Enter n</t>
    </r>
    <r>
      <rPr>
        <i/>
        <sz val="18"/>
        <color theme="1"/>
        <rFont val="Calibri"/>
        <scheme val="minor"/>
      </rPr>
      <t>umber of shares</t>
    </r>
  </si>
  <si>
    <r>
      <t>No seat given (</t>
    </r>
    <r>
      <rPr>
        <i/>
        <sz val="18"/>
        <color theme="1"/>
        <rFont val="Calibri"/>
        <scheme val="minor"/>
      </rPr>
      <t>enter</t>
    </r>
    <r>
      <rPr>
        <sz val="18"/>
        <color theme="1"/>
        <rFont val="Calibri"/>
        <family val="2"/>
        <scheme val="minor"/>
      </rPr>
      <t>0)</t>
    </r>
  </si>
  <si>
    <t>Enter amount of liability Winemaster wiil</t>
  </si>
  <si>
    <t>Entered amount will be discounted to reflect</t>
  </si>
  <si>
    <t>15% probability of liability verdict.</t>
  </si>
  <si>
    <t xml:space="preserve"> FILL in ORANGE BOXES ONLY.  You must fill all these boxes to see value deal.</t>
  </si>
  <si>
    <t xml:space="preserve">         - Cost of law suit liability</t>
  </si>
  <si>
    <r>
      <t xml:space="preserve">Seat w/ immediate vest </t>
    </r>
    <r>
      <rPr>
        <i/>
        <sz val="18"/>
        <color theme="1"/>
        <rFont val="Calibri"/>
        <scheme val="minor"/>
      </rPr>
      <t>(enter</t>
    </r>
    <r>
      <rPr>
        <sz val="18"/>
        <color theme="1"/>
        <rFont val="Calibri"/>
        <family val="2"/>
        <scheme val="minor"/>
      </rPr>
      <t xml:space="preserve"> 50,000)</t>
    </r>
  </si>
  <si>
    <r>
      <t xml:space="preserve">Seat w/ pro rata vest </t>
    </r>
    <r>
      <rPr>
        <i/>
        <sz val="18"/>
        <color theme="1"/>
        <rFont val="Calibri"/>
        <scheme val="minor"/>
      </rPr>
      <t>(enter</t>
    </r>
    <r>
      <rPr>
        <sz val="18"/>
        <color theme="1"/>
        <rFont val="Calibri"/>
        <family val="2"/>
        <scheme val="minor"/>
      </rPr>
      <t xml:space="preserve"> 250,000)</t>
    </r>
  </si>
  <si>
    <r>
      <t xml:space="preserve">Seat w/ 2nd year vest </t>
    </r>
    <r>
      <rPr>
        <i/>
        <sz val="18"/>
        <color theme="1"/>
        <rFont val="Calibri"/>
        <scheme val="minor"/>
      </rPr>
      <t>(enter</t>
    </r>
    <r>
      <rPr>
        <sz val="18"/>
        <color theme="1"/>
        <rFont val="Calibri"/>
        <family val="2"/>
        <scheme val="minor"/>
      </rPr>
      <t xml:space="preserve"> 750,000)</t>
    </r>
  </si>
  <si>
    <t>take responsibility for (max. of 1,000,000).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</si>
</sst>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scheme val="minor"/>
    </font>
    <font>
      <i/>
      <sz val="18"/>
      <color theme="1"/>
      <name val="Calibri"/>
      <scheme val="minor"/>
    </font>
    <font>
      <b/>
      <sz val="22"/>
      <color theme="1"/>
      <name val="Calibri"/>
      <scheme val="minor"/>
    </font>
    <font>
      <sz val="22"/>
      <color theme="1"/>
      <name val="Calibri"/>
      <scheme val="minor"/>
    </font>
    <font>
      <b/>
      <i/>
      <sz val="1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Border="1" applyAlignment="1">
      <alignment horizontal="center"/>
    </xf>
    <xf numFmtId="0" fontId="7" fillId="3" borderId="0" xfId="0" applyFont="1" applyFill="1"/>
    <xf numFmtId="0" fontId="2" fillId="3" borderId="0" xfId="0" applyFont="1" applyFill="1"/>
    <xf numFmtId="164" fontId="3" fillId="2" borderId="2" xfId="1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2" fillId="4" borderId="4" xfId="0" applyFont="1" applyFill="1" applyBorder="1"/>
    <xf numFmtId="0" fontId="2" fillId="4" borderId="5" xfId="0" applyFont="1" applyFill="1" applyBorder="1"/>
    <xf numFmtId="164" fontId="2" fillId="3" borderId="6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6" sqref="F6"/>
    </sheetView>
  </sheetViews>
  <sheetFormatPr baseColWidth="10" defaultRowHeight="24" x14ac:dyDescent="0.3"/>
  <cols>
    <col min="1" max="1" width="38" style="1" customWidth="1"/>
    <col min="2" max="2" width="56.1640625" style="1" customWidth="1"/>
    <col min="3" max="3" width="23.33203125" style="1" customWidth="1"/>
    <col min="4" max="4" width="22.1640625" style="1" customWidth="1"/>
    <col min="5" max="16384" width="10.83203125" style="1"/>
  </cols>
  <sheetData>
    <row r="1" spans="1:4" s="5" customFormat="1" ht="30" thickBot="1" x14ac:dyDescent="0.4">
      <c r="A1" s="4" t="s">
        <v>3</v>
      </c>
      <c r="B1" s="4"/>
      <c r="C1" s="4"/>
    </row>
    <row r="2" spans="1:4" ht="25" thickBot="1" x14ac:dyDescent="0.35">
      <c r="A2" s="13" t="s">
        <v>14</v>
      </c>
      <c r="B2" s="14"/>
    </row>
    <row r="3" spans="1:4" ht="25" thickBot="1" x14ac:dyDescent="0.35"/>
    <row r="4" spans="1:4" ht="25" thickBot="1" x14ac:dyDescent="0.35">
      <c r="A4" s="3" t="s">
        <v>9</v>
      </c>
      <c r="B4" s="10"/>
      <c r="C4" s="2" t="s">
        <v>0</v>
      </c>
      <c r="D4" s="12" t="str">
        <f>IF(B4="","",B4*50)</f>
        <v/>
      </c>
    </row>
    <row r="5" spans="1:4" x14ac:dyDescent="0.3">
      <c r="A5" s="3"/>
      <c r="D5" s="2"/>
    </row>
    <row r="6" spans="1:4" ht="25" thickBot="1" x14ac:dyDescent="0.35">
      <c r="A6" s="3"/>
      <c r="B6" s="1" t="s">
        <v>8</v>
      </c>
      <c r="D6" s="2"/>
    </row>
    <row r="7" spans="1:4" ht="25" thickBot="1" x14ac:dyDescent="0.35">
      <c r="A7" s="3" t="s">
        <v>1</v>
      </c>
      <c r="B7" s="1" t="s">
        <v>6</v>
      </c>
      <c r="C7" s="10"/>
      <c r="D7" s="6"/>
    </row>
    <row r="8" spans="1:4" x14ac:dyDescent="0.3">
      <c r="B8" s="1" t="s">
        <v>7</v>
      </c>
      <c r="D8" s="2"/>
    </row>
    <row r="9" spans="1:4" x14ac:dyDescent="0.3">
      <c r="D9" s="2"/>
    </row>
    <row r="10" spans="1:4" ht="25" thickBot="1" x14ac:dyDescent="0.35">
      <c r="A10" s="7" t="s">
        <v>2</v>
      </c>
      <c r="B10" s="8"/>
      <c r="C10" s="8"/>
      <c r="D10" s="15" t="str">
        <f>IF(OR(C7="",B4=""),"",C7*D4)</f>
        <v/>
      </c>
    </row>
    <row r="11" spans="1:4" x14ac:dyDescent="0.3">
      <c r="D11" s="2"/>
    </row>
    <row r="12" spans="1:4" ht="25" thickBot="1" x14ac:dyDescent="0.35">
      <c r="A12" s="3" t="s">
        <v>4</v>
      </c>
      <c r="B12" s="1" t="s">
        <v>16</v>
      </c>
      <c r="D12" s="2"/>
    </row>
    <row r="13" spans="1:4" ht="25" thickBot="1" x14ac:dyDescent="0.35">
      <c r="B13" s="1" t="s">
        <v>17</v>
      </c>
      <c r="C13" s="11"/>
      <c r="D13" s="2"/>
    </row>
    <row r="14" spans="1:4" x14ac:dyDescent="0.3">
      <c r="B14" s="1" t="s">
        <v>18</v>
      </c>
      <c r="D14" s="2"/>
    </row>
    <row r="15" spans="1:4" x14ac:dyDescent="0.3">
      <c r="B15" s="1" t="s">
        <v>10</v>
      </c>
      <c r="D15" s="2"/>
    </row>
    <row r="16" spans="1:4" x14ac:dyDescent="0.3">
      <c r="D16" s="2"/>
    </row>
    <row r="17" spans="1:4" ht="25" thickBot="1" x14ac:dyDescent="0.35">
      <c r="B17" s="3" t="s">
        <v>11</v>
      </c>
      <c r="D17" s="2"/>
    </row>
    <row r="18" spans="1:4" ht="25" thickBot="1" x14ac:dyDescent="0.35">
      <c r="A18" s="3" t="s">
        <v>15</v>
      </c>
      <c r="B18" s="3" t="s">
        <v>19</v>
      </c>
      <c r="C18" s="11"/>
      <c r="D18" s="12" t="str">
        <f>IF(C18="","",0.15*C18)</f>
        <v/>
      </c>
    </row>
    <row r="19" spans="1:4" x14ac:dyDescent="0.3">
      <c r="B19" s="3" t="s">
        <v>12</v>
      </c>
      <c r="D19" s="2"/>
    </row>
    <row r="20" spans="1:4" x14ac:dyDescent="0.3">
      <c r="B20" s="3" t="s">
        <v>13</v>
      </c>
      <c r="D20" s="2"/>
    </row>
    <row r="21" spans="1:4" ht="25" thickBot="1" x14ac:dyDescent="0.35">
      <c r="A21" s="7" t="s">
        <v>5</v>
      </c>
      <c r="B21" s="8"/>
      <c r="C21" s="8"/>
      <c r="D21" s="9" t="str">
        <f>IF(OR(C18="",C13="",D10=""), "", C13+D10-D18)</f>
        <v/>
      </c>
    </row>
    <row r="22" spans="1:4" ht="25" thickTop="1" x14ac:dyDescent="0.3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2016-10-17T16:31:11Z</dcterms:created>
  <dcterms:modified xsi:type="dcterms:W3CDTF">2017-02-15T16:27:50Z</dcterms:modified>
</cp:coreProperties>
</file>