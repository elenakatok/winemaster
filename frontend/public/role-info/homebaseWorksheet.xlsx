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gxb122130/Dropbox/Classes/NegotiationUTD/Mod 1 Table skills/Winemaster.com/"/>
    </mc:Choice>
  </mc:AlternateContent>
  <bookViews>
    <workbookView xWindow="21800" yWindow="7280" windowWidth="28160" windowHeight="167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D17" i="1"/>
  <c r="D20" i="1"/>
  <c r="D4" i="1"/>
</calcChain>
</file>

<file path=xl/sharedStrings.xml><?xml version="1.0" encoding="utf-8"?>
<sst xmlns="http://schemas.openxmlformats.org/spreadsheetml/2006/main" count="19" uniqueCount="19">
  <si>
    <t>X  $50  =</t>
  </si>
  <si>
    <t>Homebase.  Cost of proposed deal</t>
  </si>
  <si>
    <t xml:space="preserve">           Number of shares</t>
  </si>
  <si>
    <t xml:space="preserve">          X  Vesting discount</t>
  </si>
  <si>
    <t xml:space="preserve">         + Cost of board seat</t>
  </si>
  <si>
    <t xml:space="preserve">  = Present value of shares (C7 x D4)</t>
  </si>
  <si>
    <t xml:space="preserve">  = Total cost of acquisition (D10 + C13 + C17)</t>
  </si>
  <si>
    <r>
      <t>Immediate (</t>
    </r>
    <r>
      <rPr>
        <i/>
        <sz val="18"/>
        <color theme="1"/>
        <rFont val="Calibri"/>
        <scheme val="minor"/>
      </rPr>
      <t xml:space="preserve">enter </t>
    </r>
    <r>
      <rPr>
        <sz val="18"/>
        <color theme="1"/>
        <rFont val="Calibri"/>
        <family val="2"/>
        <scheme val="minor"/>
      </rPr>
      <t>1)</t>
    </r>
  </si>
  <si>
    <r>
      <t>Pro rata (</t>
    </r>
    <r>
      <rPr>
        <i/>
        <sz val="18"/>
        <color theme="1"/>
        <rFont val="Calibri"/>
        <scheme val="minor"/>
      </rPr>
      <t>enter</t>
    </r>
    <r>
      <rPr>
        <sz val="18"/>
        <color theme="1"/>
        <rFont val="Calibri"/>
        <family val="2"/>
        <scheme val="minor"/>
      </rPr>
      <t xml:space="preserve"> 0.81)</t>
    </r>
  </si>
  <si>
    <r>
      <t>End second yr (</t>
    </r>
    <r>
      <rPr>
        <i/>
        <sz val="18"/>
        <color theme="1"/>
        <rFont val="Calibri"/>
        <scheme val="minor"/>
      </rPr>
      <t xml:space="preserve">enter </t>
    </r>
    <r>
      <rPr>
        <sz val="18"/>
        <color theme="1"/>
        <rFont val="Calibri"/>
        <family val="2"/>
        <scheme val="minor"/>
      </rPr>
      <t>0.64)</t>
    </r>
  </si>
  <si>
    <r>
      <t>No seat given (</t>
    </r>
    <r>
      <rPr>
        <i/>
        <sz val="18"/>
        <color theme="1"/>
        <rFont val="Calibri"/>
        <scheme val="minor"/>
      </rPr>
      <t>enter</t>
    </r>
    <r>
      <rPr>
        <sz val="18"/>
        <color theme="1"/>
        <rFont val="Calibri"/>
        <family val="2"/>
        <scheme val="minor"/>
      </rPr>
      <t xml:space="preserve"> 0)</t>
    </r>
  </si>
  <si>
    <t>Entered amount will be discounted to reflect</t>
  </si>
  <si>
    <t>Enter amount of liability Homebase wiil</t>
  </si>
  <si>
    <t xml:space="preserve">         + Cost of law suit liability</t>
  </si>
  <si>
    <t xml:space="preserve">60% probability of liability, 95% chance of </t>
  </si>
  <si>
    <t>accept (max. of 1,000,000).</t>
  </si>
  <si>
    <t>500,000 award, 5% chance 1,000,000. award</t>
  </si>
  <si>
    <r>
      <t>Seat given (</t>
    </r>
    <r>
      <rPr>
        <i/>
        <sz val="18"/>
        <color theme="1"/>
        <rFont val="Calibri"/>
        <scheme val="minor"/>
      </rPr>
      <t xml:space="preserve">enter </t>
    </r>
    <r>
      <rPr>
        <sz val="18"/>
        <color theme="1"/>
        <rFont val="Calibri"/>
        <family val="2"/>
        <scheme val="minor"/>
      </rPr>
      <t>350,000)</t>
    </r>
  </si>
  <si>
    <t xml:space="preserve"> FILL in ORANGE BOXES ONLY.  You must fill all these boxes to see deal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</si>
</sst>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scheme val="minor"/>
    </font>
    <font>
      <i/>
      <sz val="18"/>
      <color theme="1"/>
      <name val="Calibri"/>
      <scheme val="minor"/>
    </font>
    <font>
      <b/>
      <sz val="22"/>
      <color theme="1"/>
      <name val="Calibri"/>
      <scheme val="minor"/>
    </font>
    <font>
      <sz val="22"/>
      <color theme="1"/>
      <name val="Calibri"/>
      <scheme val="minor"/>
    </font>
    <font>
      <b/>
      <i/>
      <sz val="1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Border="1" applyAlignment="1">
      <alignment horizontal="center"/>
    </xf>
    <xf numFmtId="0" fontId="7" fillId="3" borderId="0" xfId="0" applyFont="1" applyFill="1"/>
    <xf numFmtId="0" fontId="2" fillId="3" borderId="0" xfId="0" applyFont="1" applyFill="1"/>
    <xf numFmtId="164" fontId="3" fillId="2" borderId="2" xfId="1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0" fontId="2" fillId="4" borderId="3" xfId="0" applyFont="1" applyFill="1" applyBorder="1"/>
    <xf numFmtId="0" fontId="2" fillId="4" borderId="4" xfId="0" applyFont="1" applyFill="1" applyBorder="1"/>
    <xf numFmtId="164" fontId="2" fillId="0" borderId="0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3" borderId="5" xfId="1" applyNumberFormat="1" applyFont="1" applyFill="1" applyBorder="1" applyAlignment="1">
      <alignment horizontal="center"/>
    </xf>
    <xf numFmtId="6" fontId="4" fillId="0" borderId="0" xfId="0" applyNumberFormat="1" applyFont="1"/>
    <xf numFmtId="164" fontId="2" fillId="0" borderId="6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6" sqref="G16"/>
    </sheetView>
  </sheetViews>
  <sheetFormatPr baseColWidth="10" defaultRowHeight="24" x14ac:dyDescent="0.3"/>
  <cols>
    <col min="1" max="1" width="38.6640625" style="1" customWidth="1"/>
    <col min="2" max="2" width="56" style="1" customWidth="1"/>
    <col min="3" max="3" width="23.33203125" style="1" customWidth="1"/>
    <col min="4" max="4" width="22.1640625" style="1" customWidth="1"/>
    <col min="5" max="16384" width="10.83203125" style="1"/>
  </cols>
  <sheetData>
    <row r="1" spans="1:4" s="5" customFormat="1" ht="30" thickBot="1" x14ac:dyDescent="0.4">
      <c r="A1" s="4" t="s">
        <v>1</v>
      </c>
      <c r="B1" s="4"/>
      <c r="C1" s="4"/>
    </row>
    <row r="2" spans="1:4" ht="25" thickBot="1" x14ac:dyDescent="0.35">
      <c r="A2" s="12" t="s">
        <v>18</v>
      </c>
      <c r="B2" s="13"/>
    </row>
    <row r="3" spans="1:4" ht="25" thickBot="1" x14ac:dyDescent="0.35"/>
    <row r="4" spans="1:4" ht="25" thickBot="1" x14ac:dyDescent="0.35">
      <c r="A4" s="3" t="s">
        <v>2</v>
      </c>
      <c r="B4" s="10"/>
      <c r="C4" s="2" t="s">
        <v>0</v>
      </c>
      <c r="D4" s="15" t="str">
        <f>IF(B4="","",B4*50)</f>
        <v/>
      </c>
    </row>
    <row r="5" spans="1:4" x14ac:dyDescent="0.3">
      <c r="A5" s="3"/>
      <c r="D5" s="2"/>
    </row>
    <row r="6" spans="1:4" ht="25" thickBot="1" x14ac:dyDescent="0.35">
      <c r="A6" s="3"/>
      <c r="B6" s="1" t="s">
        <v>7</v>
      </c>
      <c r="D6" s="2"/>
    </row>
    <row r="7" spans="1:4" ht="25" thickBot="1" x14ac:dyDescent="0.35">
      <c r="A7" s="3" t="s">
        <v>3</v>
      </c>
      <c r="B7" s="1" t="s">
        <v>8</v>
      </c>
      <c r="C7" s="10"/>
      <c r="D7" s="6"/>
    </row>
    <row r="8" spans="1:4" x14ac:dyDescent="0.3">
      <c r="B8" s="1" t="s">
        <v>9</v>
      </c>
      <c r="D8" s="2"/>
    </row>
    <row r="9" spans="1:4" x14ac:dyDescent="0.3">
      <c r="D9" s="2"/>
    </row>
    <row r="10" spans="1:4" ht="25" thickBot="1" x14ac:dyDescent="0.35">
      <c r="A10" s="7" t="s">
        <v>5</v>
      </c>
      <c r="B10" s="8"/>
      <c r="C10" s="8"/>
      <c r="D10" s="16" t="str">
        <f>IF(OR(C7="",B4=""),"",C7*D4)</f>
        <v/>
      </c>
    </row>
    <row r="11" spans="1:4" x14ac:dyDescent="0.3">
      <c r="D11" s="2"/>
    </row>
    <row r="12" spans="1:4" ht="25" thickBot="1" x14ac:dyDescent="0.35">
      <c r="A12" s="3" t="s">
        <v>4</v>
      </c>
      <c r="B12" s="1" t="s">
        <v>17</v>
      </c>
      <c r="D12" s="2"/>
    </row>
    <row r="13" spans="1:4" ht="25" thickBot="1" x14ac:dyDescent="0.35">
      <c r="B13" s="1" t="s">
        <v>10</v>
      </c>
      <c r="C13" s="11"/>
      <c r="D13" s="2"/>
    </row>
    <row r="14" spans="1:4" x14ac:dyDescent="0.3">
      <c r="C14" s="14"/>
      <c r="D14" s="2"/>
    </row>
    <row r="15" spans="1:4" x14ac:dyDescent="0.3">
      <c r="B15" s="3" t="s">
        <v>12</v>
      </c>
      <c r="D15" s="2"/>
    </row>
    <row r="16" spans="1:4" ht="25" thickBot="1" x14ac:dyDescent="0.35">
      <c r="B16" s="3" t="s">
        <v>15</v>
      </c>
      <c r="D16" s="2"/>
    </row>
    <row r="17" spans="1:4" ht="25" thickBot="1" x14ac:dyDescent="0.35">
      <c r="A17" s="3" t="s">
        <v>13</v>
      </c>
      <c r="B17" s="3" t="s">
        <v>11</v>
      </c>
      <c r="C17" s="11"/>
      <c r="D17" s="18" t="str">
        <f>IF(C17="","",IF(C17&lt;=500000,0.6*C17,0.6*(0.95*500000+0.05*C17)))</f>
        <v/>
      </c>
    </row>
    <row r="18" spans="1:4" x14ac:dyDescent="0.3">
      <c r="B18" s="3" t="s">
        <v>14</v>
      </c>
      <c r="D18" s="2"/>
    </row>
    <row r="19" spans="1:4" x14ac:dyDescent="0.3">
      <c r="B19" s="17" t="s">
        <v>16</v>
      </c>
      <c r="D19" s="2"/>
    </row>
    <row r="20" spans="1:4" ht="25" thickBot="1" x14ac:dyDescent="0.35">
      <c r="A20" s="7" t="s">
        <v>6</v>
      </c>
      <c r="B20" s="8"/>
      <c r="C20" s="8"/>
      <c r="D20" s="9" t="str">
        <f>IF(OR(C17="",C13="",D10=""), "", D17+C13+D10)</f>
        <v/>
      </c>
    </row>
    <row r="21" spans="1:4" ht="25" thickTop="1" x14ac:dyDescent="0.3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2016-10-17T16:31:11Z</dcterms:created>
  <dcterms:modified xsi:type="dcterms:W3CDTF">2017-02-15T16:28:01Z</dcterms:modified>
</cp:coreProperties>
</file>